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busta\OneDrive\Documents\Bureau\BARNICHA_CHIVET\excel\"/>
    </mc:Choice>
  </mc:AlternateContent>
  <xr:revisionPtr revIDLastSave="0" documentId="13_ncr:1_{757072BD-7868-43F8-A86B-7624E446C715}" xr6:coauthVersionLast="47" xr6:coauthVersionMax="47" xr10:uidLastSave="{00000000-0000-0000-0000-000000000000}"/>
  <bookViews>
    <workbookView xWindow="-108" yWindow="-108" windowWidth="23256" windowHeight="12456" activeTab="2" xr2:uid="{00000000-000D-0000-FFFF-FFFF00000000}"/>
  </bookViews>
  <sheets>
    <sheet name="Inputs" sheetId="1" r:id="rId1"/>
    <sheet name="Outputs" sheetId="2" r:id="rId2"/>
    <sheet name="CurveData" sheetId="3" r:id="rId3"/>
  </sheets>
  <functionGroups builtInGroupCount="19"/>
  <definedNames>
    <definedName name="_xlnm._FilterDatabase" localSheetId="0" hidden="1">Inputs!$A$3:$B$20</definedName>
  </definedNames>
  <calcPr calcId="0"/>
</workbook>
</file>

<file path=xl/sharedStrings.xml><?xml version="1.0" encoding="utf-8"?>
<sst xmlns="http://schemas.openxmlformats.org/spreadsheetml/2006/main" count="70" uniqueCount="49">
  <si>
    <t>Lookback Option (Floating Strike) - Excel/VBA Front-End</t>
  </si>
  <si>
    <t>Parameter</t>
  </si>
  <si>
    <t>Value</t>
  </si>
  <si>
    <t>Valuation date T0 (YYYY-MM-DD)</t>
  </si>
  <si>
    <t>2026-01-01</t>
  </si>
  <si>
    <t>Maturity date T (YYYY-MM-DD)</t>
  </si>
  <si>
    <t>2027-01-01</t>
  </si>
  <si>
    <t>Maturity in years (T-T0)</t>
  </si>
  <si>
    <t>1.0</t>
  </si>
  <si>
    <t>Option type</t>
  </si>
  <si>
    <t>Spot S0</t>
  </si>
  <si>
    <t>Rate r (cc)</t>
  </si>
  <si>
    <t>Paths (Monte Carlo)</t>
  </si>
  <si>
    <t>Seed</t>
  </si>
  <si>
    <t>Spot</t>
  </si>
  <si>
    <t>Volatility</t>
  </si>
  <si>
    <t>Outputs</t>
  </si>
  <si>
    <t>Metric</t>
  </si>
  <si>
    <t>Engine</t>
  </si>
  <si>
    <t>Estimate</t>
  </si>
  <si>
    <t>StdErr</t>
  </si>
  <si>
    <t>CI95 Low</t>
  </si>
  <si>
    <t>CI95 High</t>
  </si>
  <si>
    <t>Price</t>
  </si>
  <si>
    <t>MonteCarlo</t>
  </si>
  <si>
    <t>Delta</t>
  </si>
  <si>
    <t>Gamma</t>
  </si>
  <si>
    <t>Theta</t>
  </si>
  <si>
    <t>Rho</t>
  </si>
  <si>
    <t>Vega</t>
  </si>
  <si>
    <t>Analytic</t>
  </si>
  <si>
    <t>Chart Engine 2</t>
  </si>
  <si>
    <t>Chart1 Metric</t>
  </si>
  <si>
    <t>Curve N points</t>
  </si>
  <si>
    <t>Chart2 Metric</t>
  </si>
  <si>
    <t>Chart Engine 1</t>
  </si>
  <si>
    <t>X Axis Variable</t>
  </si>
  <si>
    <t>X Min</t>
  </si>
  <si>
    <t>X Max</t>
  </si>
  <si>
    <t>Put</t>
  </si>
  <si>
    <t>Time Steps</t>
  </si>
  <si>
    <t>BGK Enabled</t>
  </si>
  <si>
    <t>Price (MonteCarlo)</t>
  </si>
  <si>
    <t>Price (Analytic)</t>
  </si>
  <si>
    <t>Delta (MonteCarlo)</t>
  </si>
  <si>
    <t>Delta (Analytic)</t>
  </si>
  <si>
    <t>cond</t>
  </si>
  <si>
    <t>No</t>
  </si>
  <si>
    <t>Pricing engine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</si>
</sst>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4"/>
      <name val="Calibri"/>
      <family val="2"/>
    </font>
    <font>
      <b/>
      <sz val="11"/>
      <name val="Calibri"/>
      <family val="2"/>
    </font>
    <font>
      <b/>
      <sz val="11"/>
      <color theme="1"/>
      <name val="Calibri"/>
      <family val="2"/>
      <scheme val="minor"/>
    </font>
    <font>
      <sz val="12"/>
      <color rgb="FF000000"/>
      <name val="Calibri"/>
      <family val="2"/>
    </font>
    <font>
      <b/>
      <sz val="11"/>
      <color theme="1"/>
      <name val="Calibri"/>
      <family val="2"/>
    </font>
  </fonts>
  <fills count="9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59999389629810485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27">
    <xf numFmtId="0" fontId="0" fillId="0" borderId="0" xfId="0"/>
    <xf numFmtId="0" fontId="1" fillId="0" borderId="0" xfId="0" applyFont="1"/>
    <xf numFmtId="0" fontId="0" fillId="0" borderId="1" xfId="0" applyBorder="1"/>
    <xf numFmtId="0" fontId="5" fillId="3" borderId="3" xfId="0" applyFont="1" applyFill="1" applyBorder="1"/>
    <xf numFmtId="0" fontId="5" fillId="3" borderId="4" xfId="0" applyFont="1" applyFill="1" applyBorder="1"/>
    <xf numFmtId="0" fontId="2" fillId="3" borderId="1" xfId="0" applyFont="1" applyFill="1" applyBorder="1"/>
    <xf numFmtId="0" fontId="3" fillId="3" borderId="1" xfId="0" applyFont="1" applyFill="1" applyBorder="1"/>
    <xf numFmtId="0" fontId="1" fillId="2" borderId="6" xfId="0" applyFont="1" applyFill="1" applyBorder="1"/>
    <xf numFmtId="0" fontId="0" fillId="2" borderId="5" xfId="0" applyFill="1" applyBorder="1"/>
    <xf numFmtId="0" fontId="1" fillId="4" borderId="6" xfId="0" applyFont="1" applyFill="1" applyBorder="1"/>
    <xf numFmtId="0" fontId="0" fillId="4" borderId="7" xfId="0" applyFill="1" applyBorder="1"/>
    <xf numFmtId="0" fontId="0" fillId="4" borderId="5" xfId="0" applyFill="1" applyBorder="1"/>
    <xf numFmtId="0" fontId="0" fillId="5" borderId="8" xfId="0" applyFill="1" applyBorder="1"/>
    <xf numFmtId="0" fontId="0" fillId="5" borderId="9" xfId="0" applyFill="1" applyBorder="1"/>
    <xf numFmtId="0" fontId="0" fillId="5" borderId="10" xfId="0" applyFill="1" applyBorder="1"/>
    <xf numFmtId="0" fontId="0" fillId="5" borderId="11" xfId="0" applyFill="1" applyBorder="1"/>
    <xf numFmtId="0" fontId="0" fillId="5" borderId="0" xfId="0" applyFill="1"/>
    <xf numFmtId="0" fontId="0" fillId="5" borderId="12" xfId="0" applyFill="1" applyBorder="1"/>
    <xf numFmtId="0" fontId="0" fillId="5" borderId="13" xfId="0" applyFill="1" applyBorder="1"/>
    <xf numFmtId="0" fontId="0" fillId="5" borderId="14" xfId="0" applyFill="1" applyBorder="1"/>
    <xf numFmtId="0" fontId="0" fillId="5" borderId="15" xfId="0" applyFill="1" applyBorder="1"/>
    <xf numFmtId="0" fontId="0" fillId="6" borderId="2" xfId="0" applyFill="1" applyBorder="1"/>
    <xf numFmtId="0" fontId="0" fillId="6" borderId="1" xfId="0" applyFill="1" applyBorder="1"/>
    <xf numFmtId="0" fontId="0" fillId="5" borderId="1" xfId="0" applyFill="1" applyBorder="1"/>
    <xf numFmtId="0" fontId="0" fillId="7" borderId="1" xfId="0" applyFill="1" applyBorder="1" applyAlignment="1">
      <alignment wrapText="1"/>
    </xf>
    <xf numFmtId="0" fontId="0" fillId="7" borderId="1" xfId="0" applyFill="1" applyBorder="1"/>
    <xf numFmtId="0" fontId="0" fillId="8" borderId="1" xfId="0" applyFill="1" applyBorder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Price vs Spot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9.4489332980326385E-2"/>
          <c:y val="0.11685166958296879"/>
          <c:w val="0.85362191650078612"/>
          <c:h val="0.64672230133467357"/>
        </c:manualLayout>
      </c:layout>
      <c:scatterChart>
        <c:scatterStyle val="lineMarker"/>
        <c:varyColors val="1"/>
        <c:ser>
          <c:idx val="0"/>
          <c:order val="0"/>
          <c:tx>
            <c:v>Price (MonteCarlo)</c:v>
          </c:tx>
          <c:marker>
            <c:symbol val="none"/>
          </c:marker>
          <c:xVal>
            <c:numRef>
              <c:f>CurveData!$A$2:$A$21</c:f>
              <c:numCache>
                <c:formatCode>General</c:formatCode>
                <c:ptCount val="20"/>
                <c:pt idx="0">
                  <c:v>80</c:v>
                </c:pt>
                <c:pt idx="1">
                  <c:v>82.10526315789474</c:v>
                </c:pt>
                <c:pt idx="2">
                  <c:v>84.21052631578948</c:v>
                </c:pt>
                <c:pt idx="3">
                  <c:v>86.315789473684205</c:v>
                </c:pt>
                <c:pt idx="4">
                  <c:v>88.421052631578945</c:v>
                </c:pt>
                <c:pt idx="5">
                  <c:v>90.526315789473685</c:v>
                </c:pt>
                <c:pt idx="6">
                  <c:v>92.631578947368425</c:v>
                </c:pt>
                <c:pt idx="7">
                  <c:v>94.736842105263165</c:v>
                </c:pt>
                <c:pt idx="8">
                  <c:v>96.84210526315789</c:v>
                </c:pt>
                <c:pt idx="9">
                  <c:v>98.94736842105263</c:v>
                </c:pt>
                <c:pt idx="10">
                  <c:v>101.05263157894737</c:v>
                </c:pt>
                <c:pt idx="11">
                  <c:v>103.15789473684211</c:v>
                </c:pt>
                <c:pt idx="12">
                  <c:v>105.26315789473684</c:v>
                </c:pt>
                <c:pt idx="13">
                  <c:v>107.36842105263158</c:v>
                </c:pt>
                <c:pt idx="14">
                  <c:v>109.47368421052632</c:v>
                </c:pt>
                <c:pt idx="15">
                  <c:v>111.57894736842105</c:v>
                </c:pt>
                <c:pt idx="16">
                  <c:v>113.68421052631579</c:v>
                </c:pt>
                <c:pt idx="17">
                  <c:v>115.78947368421052</c:v>
                </c:pt>
                <c:pt idx="18">
                  <c:v>117.89473684210526</c:v>
                </c:pt>
                <c:pt idx="19">
                  <c:v>120</c:v>
                </c:pt>
              </c:numCache>
            </c:numRef>
          </c:xVal>
          <c:yVal>
            <c:numRef>
              <c:f>CurveData!$B$2:$B$21</c:f>
              <c:numCache>
                <c:formatCode>General</c:formatCode>
                <c:ptCount val="20"/>
                <c:pt idx="0">
                  <c:v>11.436403752983704</c:v>
                </c:pt>
                <c:pt idx="1">
                  <c:v>11.73736174648325</c:v>
                </c:pt>
                <c:pt idx="2">
                  <c:v>12.038319739982802</c:v>
                </c:pt>
                <c:pt idx="3">
                  <c:v>12.339277733482405</c:v>
                </c:pt>
                <c:pt idx="4">
                  <c:v>12.64023572698202</c:v>
                </c:pt>
                <c:pt idx="5">
                  <c:v>12.941193720481568</c:v>
                </c:pt>
                <c:pt idx="6">
                  <c:v>13.242151713981057</c:v>
                </c:pt>
                <c:pt idx="7">
                  <c:v>13.543109707480651</c:v>
                </c:pt>
                <c:pt idx="8">
                  <c:v>13.844067700980252</c:v>
                </c:pt>
                <c:pt idx="9">
                  <c:v>14.145025694479779</c:v>
                </c:pt>
                <c:pt idx="10">
                  <c:v>14.445983687979446</c:v>
                </c:pt>
                <c:pt idx="11">
                  <c:v>14.746941681478907</c:v>
                </c:pt>
                <c:pt idx="12">
                  <c:v>15.047899674978574</c:v>
                </c:pt>
                <c:pt idx="13">
                  <c:v>15.348857668478027</c:v>
                </c:pt>
                <c:pt idx="14">
                  <c:v>15.6498156619777</c:v>
                </c:pt>
                <c:pt idx="15">
                  <c:v>15.950773655477262</c:v>
                </c:pt>
                <c:pt idx="16">
                  <c:v>16.251731648976811</c:v>
                </c:pt>
                <c:pt idx="17">
                  <c:v>16.552689642476373</c:v>
                </c:pt>
                <c:pt idx="18">
                  <c:v>16.853647635975982</c:v>
                </c:pt>
                <c:pt idx="19">
                  <c:v>17.154605629475544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E3D2-4B3B-882E-27C2335D84F9}"/>
            </c:ext>
          </c:extLst>
        </c:ser>
        <c:ser>
          <c:idx val="1"/>
          <c:order val="1"/>
          <c:tx>
            <c:v>Price (Analytic)</c:v>
          </c:tx>
          <c:marker>
            <c:symbol val="none"/>
          </c:marker>
          <c:xVal>
            <c:numRef>
              <c:f>CurveData!$A$2:$A$21</c:f>
              <c:numCache>
                <c:formatCode>General</c:formatCode>
                <c:ptCount val="20"/>
                <c:pt idx="0">
                  <c:v>80</c:v>
                </c:pt>
                <c:pt idx="1">
                  <c:v>82.10526315789474</c:v>
                </c:pt>
                <c:pt idx="2">
                  <c:v>84.21052631578948</c:v>
                </c:pt>
                <c:pt idx="3">
                  <c:v>86.315789473684205</c:v>
                </c:pt>
                <c:pt idx="4">
                  <c:v>88.421052631578945</c:v>
                </c:pt>
                <c:pt idx="5">
                  <c:v>90.526315789473685</c:v>
                </c:pt>
                <c:pt idx="6">
                  <c:v>92.631578947368425</c:v>
                </c:pt>
                <c:pt idx="7">
                  <c:v>94.736842105263165</c:v>
                </c:pt>
                <c:pt idx="8">
                  <c:v>96.84210526315789</c:v>
                </c:pt>
                <c:pt idx="9">
                  <c:v>98.94736842105263</c:v>
                </c:pt>
                <c:pt idx="10">
                  <c:v>101.05263157894737</c:v>
                </c:pt>
                <c:pt idx="11">
                  <c:v>103.15789473684211</c:v>
                </c:pt>
                <c:pt idx="12">
                  <c:v>105.26315789473684</c:v>
                </c:pt>
                <c:pt idx="13">
                  <c:v>107.36842105263158</c:v>
                </c:pt>
                <c:pt idx="14">
                  <c:v>109.47368421052632</c:v>
                </c:pt>
                <c:pt idx="15">
                  <c:v>111.57894736842105</c:v>
                </c:pt>
                <c:pt idx="16">
                  <c:v>113.68421052631579</c:v>
                </c:pt>
                <c:pt idx="17">
                  <c:v>115.78947368421052</c:v>
                </c:pt>
                <c:pt idx="18">
                  <c:v>117.89473684210526</c:v>
                </c:pt>
                <c:pt idx="19">
                  <c:v>120</c:v>
                </c:pt>
              </c:numCache>
            </c:numRef>
          </c:xVal>
          <c:yVal>
            <c:numRef>
              <c:f>CurveData!$C$2:$C$21</c:f>
              <c:numCache>
                <c:formatCode>General</c:formatCode>
                <c:ptCount val="20"/>
                <c:pt idx="0">
                  <c:v>11.432454165922964</c:v>
                </c:pt>
                <c:pt idx="1">
                  <c:v>11.73330822292094</c:v>
                </c:pt>
                <c:pt idx="2">
                  <c:v>12.03416227991891</c:v>
                </c:pt>
                <c:pt idx="3">
                  <c:v>12.335016336916883</c:v>
                </c:pt>
                <c:pt idx="4">
                  <c:v>12.635870393914855</c:v>
                </c:pt>
                <c:pt idx="5">
                  <c:v>12.936724450912825</c:v>
                </c:pt>
                <c:pt idx="6">
                  <c:v>13.237578507910804</c:v>
                </c:pt>
                <c:pt idx="7">
                  <c:v>13.538432564908783</c:v>
                </c:pt>
                <c:pt idx="8">
                  <c:v>13.839286621906746</c:v>
                </c:pt>
                <c:pt idx="9">
                  <c:v>14.140140678904723</c:v>
                </c:pt>
                <c:pt idx="10">
                  <c:v>14.440994735902695</c:v>
                </c:pt>
                <c:pt idx="11">
                  <c:v>14.741848792900674</c:v>
                </c:pt>
                <c:pt idx="12">
                  <c:v>15.042702849898644</c:v>
                </c:pt>
                <c:pt idx="13">
                  <c:v>15.343556906896614</c:v>
                </c:pt>
                <c:pt idx="14">
                  <c:v>15.644410963894584</c:v>
                </c:pt>
                <c:pt idx="15">
                  <c:v>15.945265020892556</c:v>
                </c:pt>
                <c:pt idx="16">
                  <c:v>16.246119077890533</c:v>
                </c:pt>
                <c:pt idx="17">
                  <c:v>16.546973134888503</c:v>
                </c:pt>
                <c:pt idx="18">
                  <c:v>16.847827191886477</c:v>
                </c:pt>
                <c:pt idx="19">
                  <c:v>17.148681248884447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E3D2-4B3B-882E-27C2335D84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"/>
        <c:axId val="100"/>
      </c:scatterChart>
      <c:valAx>
        <c:axId val="10"/>
        <c:scaling>
          <c:orientation val="minMax"/>
          <c:max val="120"/>
          <c:min val="8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Spot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00"/>
        <c:crosses val="autoZero"/>
        <c:crossBetween val="midCat"/>
      </c:valAx>
      <c:valAx>
        <c:axId val="1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Price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</c:legend>
    <c:plotVisOnly val="1"/>
    <c:dispBlanksAs val="gap"/>
    <c:showDLblsOverMax val="1"/>
  </c:chart>
  <c:spPr>
    <a:solidFill>
      <a:schemeClr val="tx1">
        <a:lumMod val="85000"/>
        <a:lumOff val="1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Delta vs Spot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5709144485773635"/>
          <c:y val="0.12316844299475758"/>
          <c:w val="0.77809485854145533"/>
          <c:h val="0.62268852277370346"/>
        </c:manualLayout>
      </c:layout>
      <c:scatterChart>
        <c:scatterStyle val="lineMarker"/>
        <c:varyColors val="1"/>
        <c:ser>
          <c:idx val="0"/>
          <c:order val="0"/>
          <c:tx>
            <c:v>Delta (MonteCarlo)</c:v>
          </c:tx>
          <c:marker>
            <c:symbol val="none"/>
          </c:marker>
          <c:xVal>
            <c:numRef>
              <c:f>CurveData!$A$2:$A$21</c:f>
              <c:numCache>
                <c:formatCode>General</c:formatCode>
                <c:ptCount val="20"/>
                <c:pt idx="0">
                  <c:v>80</c:v>
                </c:pt>
                <c:pt idx="1">
                  <c:v>82.10526315789474</c:v>
                </c:pt>
                <c:pt idx="2">
                  <c:v>84.21052631578948</c:v>
                </c:pt>
                <c:pt idx="3">
                  <c:v>86.315789473684205</c:v>
                </c:pt>
                <c:pt idx="4">
                  <c:v>88.421052631578945</c:v>
                </c:pt>
                <c:pt idx="5">
                  <c:v>90.526315789473685</c:v>
                </c:pt>
                <c:pt idx="6">
                  <c:v>92.631578947368425</c:v>
                </c:pt>
                <c:pt idx="7">
                  <c:v>94.736842105263165</c:v>
                </c:pt>
                <c:pt idx="8">
                  <c:v>96.84210526315789</c:v>
                </c:pt>
                <c:pt idx="9">
                  <c:v>98.94736842105263</c:v>
                </c:pt>
                <c:pt idx="10">
                  <c:v>101.05263157894737</c:v>
                </c:pt>
                <c:pt idx="11">
                  <c:v>103.15789473684211</c:v>
                </c:pt>
                <c:pt idx="12">
                  <c:v>105.26315789473684</c:v>
                </c:pt>
                <c:pt idx="13">
                  <c:v>107.36842105263158</c:v>
                </c:pt>
                <c:pt idx="14">
                  <c:v>109.47368421052632</c:v>
                </c:pt>
                <c:pt idx="15">
                  <c:v>111.57894736842105</c:v>
                </c:pt>
                <c:pt idx="16">
                  <c:v>113.68421052631579</c:v>
                </c:pt>
                <c:pt idx="17">
                  <c:v>115.78947368421052</c:v>
                </c:pt>
                <c:pt idx="18">
                  <c:v>117.89473684210526</c:v>
                </c:pt>
                <c:pt idx="19">
                  <c:v>120</c:v>
                </c:pt>
              </c:numCache>
            </c:numRef>
          </c:xVal>
          <c:yVal>
            <c:numRef>
              <c:f>CurveData!$D$2:$D$21</c:f>
              <c:numCache>
                <c:formatCode>General</c:formatCode>
                <c:ptCount val="20"/>
                <c:pt idx="0">
                  <c:v>0.14295504691222397</c:v>
                </c:pt>
                <c:pt idx="1">
                  <c:v>0.1429550469128503</c:v>
                </c:pt>
                <c:pt idx="2">
                  <c:v>0.14295504691221081</c:v>
                </c:pt>
                <c:pt idx="3">
                  <c:v>0.14295504691220307</c:v>
                </c:pt>
                <c:pt idx="4">
                  <c:v>0.14295504691220773</c:v>
                </c:pt>
                <c:pt idx="5">
                  <c:v>0.14295504691221086</c:v>
                </c:pt>
                <c:pt idx="6">
                  <c:v>0.14295504691222374</c:v>
                </c:pt>
                <c:pt idx="7">
                  <c:v>0.14295504691285171</c:v>
                </c:pt>
                <c:pt idx="8">
                  <c:v>0.14295504691222385</c:v>
                </c:pt>
                <c:pt idx="9">
                  <c:v>0.14295504691220653</c:v>
                </c:pt>
                <c:pt idx="10">
                  <c:v>0.1429550469128518</c:v>
                </c:pt>
                <c:pt idx="11">
                  <c:v>0.14295504691221866</c:v>
                </c:pt>
                <c:pt idx="12">
                  <c:v>0.14295504691222399</c:v>
                </c:pt>
                <c:pt idx="13">
                  <c:v>0.14295504691222616</c:v>
                </c:pt>
                <c:pt idx="14">
                  <c:v>0.14295504691284772</c:v>
                </c:pt>
                <c:pt idx="15">
                  <c:v>0.1429550469122251</c:v>
                </c:pt>
                <c:pt idx="16">
                  <c:v>0.14295504691222338</c:v>
                </c:pt>
                <c:pt idx="17">
                  <c:v>0.14295504691220459</c:v>
                </c:pt>
                <c:pt idx="18">
                  <c:v>0.14295504691221916</c:v>
                </c:pt>
                <c:pt idx="19">
                  <c:v>0.14295504691219765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EB71-4FF7-808D-3505C1B0E00E}"/>
            </c:ext>
          </c:extLst>
        </c:ser>
        <c:ser>
          <c:idx val="1"/>
          <c:order val="1"/>
          <c:tx>
            <c:v>Delta (Analytic)</c:v>
          </c:tx>
          <c:marker>
            <c:symbol val="none"/>
          </c:marker>
          <c:xVal>
            <c:numRef>
              <c:f>CurveData!$A$2:$A$21</c:f>
              <c:numCache>
                <c:formatCode>General</c:formatCode>
                <c:ptCount val="20"/>
                <c:pt idx="0">
                  <c:v>80</c:v>
                </c:pt>
                <c:pt idx="1">
                  <c:v>82.10526315789474</c:v>
                </c:pt>
                <c:pt idx="2">
                  <c:v>84.21052631578948</c:v>
                </c:pt>
                <c:pt idx="3">
                  <c:v>86.315789473684205</c:v>
                </c:pt>
                <c:pt idx="4">
                  <c:v>88.421052631578945</c:v>
                </c:pt>
                <c:pt idx="5">
                  <c:v>90.526315789473685</c:v>
                </c:pt>
                <c:pt idx="6">
                  <c:v>92.631578947368425</c:v>
                </c:pt>
                <c:pt idx="7">
                  <c:v>94.736842105263165</c:v>
                </c:pt>
                <c:pt idx="8">
                  <c:v>96.84210526315789</c:v>
                </c:pt>
                <c:pt idx="9">
                  <c:v>98.94736842105263</c:v>
                </c:pt>
                <c:pt idx="10">
                  <c:v>101.05263157894737</c:v>
                </c:pt>
                <c:pt idx="11">
                  <c:v>103.15789473684211</c:v>
                </c:pt>
                <c:pt idx="12">
                  <c:v>105.26315789473684</c:v>
                </c:pt>
                <c:pt idx="13">
                  <c:v>107.36842105263158</c:v>
                </c:pt>
                <c:pt idx="14">
                  <c:v>109.47368421052632</c:v>
                </c:pt>
                <c:pt idx="15">
                  <c:v>111.57894736842105</c:v>
                </c:pt>
                <c:pt idx="16">
                  <c:v>113.68421052631579</c:v>
                </c:pt>
                <c:pt idx="17">
                  <c:v>115.78947368421052</c:v>
                </c:pt>
                <c:pt idx="18">
                  <c:v>117.89473684210526</c:v>
                </c:pt>
                <c:pt idx="19">
                  <c:v>120</c:v>
                </c:pt>
              </c:numCache>
            </c:numRef>
          </c:xVal>
          <c:yVal>
            <c:numRef>
              <c:f>CurveData!$E$2:$E$21</c:f>
              <c:numCache>
                <c:formatCode>General</c:formatCode>
                <c:ptCount val="20"/>
                <c:pt idx="0">
                  <c:v>0.1429056770737569</c:v>
                </c:pt>
                <c:pt idx="1">
                  <c:v>0.14290567707411844</c:v>
                </c:pt>
                <c:pt idx="2">
                  <c:v>0.14290567707435639</c:v>
                </c:pt>
                <c:pt idx="3">
                  <c:v>0.1429056770742741</c:v>
                </c:pt>
                <c:pt idx="4">
                  <c:v>0.14290567707429616</c:v>
                </c:pt>
                <c:pt idx="5">
                  <c:v>0.14290567707431714</c:v>
                </c:pt>
                <c:pt idx="6">
                  <c:v>0.14290567707414548</c:v>
                </c:pt>
                <c:pt idx="7">
                  <c:v>0.14290567707426266</c:v>
                </c:pt>
                <c:pt idx="8">
                  <c:v>0.14290567707364105</c:v>
                </c:pt>
                <c:pt idx="9">
                  <c:v>0.14290567707403326</c:v>
                </c:pt>
                <c:pt idx="10">
                  <c:v>0.1429056770739697</c:v>
                </c:pt>
                <c:pt idx="11">
                  <c:v>0.14290567707356427</c:v>
                </c:pt>
                <c:pt idx="12">
                  <c:v>0.14290567707427204</c:v>
                </c:pt>
                <c:pt idx="13">
                  <c:v>0.1429056770741248</c:v>
                </c:pt>
                <c:pt idx="14">
                  <c:v>0.14290567707390206</c:v>
                </c:pt>
                <c:pt idx="15">
                  <c:v>0.14290567707360816</c:v>
                </c:pt>
                <c:pt idx="16">
                  <c:v>0.1429056770741064</c:v>
                </c:pt>
                <c:pt idx="17">
                  <c:v>0.14290567707404958</c:v>
                </c:pt>
                <c:pt idx="18">
                  <c:v>0.14290567707399479</c:v>
                </c:pt>
                <c:pt idx="19">
                  <c:v>0.14290567707423799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EB71-4FF7-808D-3505C1B0E0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"/>
        <c:axId val="100"/>
      </c:scatterChart>
      <c:valAx>
        <c:axId val="10"/>
        <c:scaling>
          <c:orientation val="minMax"/>
          <c:max val="120"/>
          <c:min val="8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Spot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00"/>
        <c:crosses val="autoZero"/>
        <c:crossBetween val="midCat"/>
      </c:valAx>
      <c:valAx>
        <c:axId val="1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Delta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</c:legend>
    <c:plotVisOnly val="1"/>
    <c:dispBlanksAs val="gap"/>
    <c:showDLblsOverMax val="1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480060</xdr:colOff>
          <xdr:row>3</xdr:row>
          <xdr:rowOff>175260</xdr:rowOff>
        </xdr:from>
        <xdr:to>
          <xdr:col>5</xdr:col>
          <xdr:colOff>662940</xdr:colOff>
          <xdr:row>5</xdr:row>
          <xdr:rowOff>175260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Run (MC &amp; Analytic)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495300</xdr:colOff>
          <xdr:row>7</xdr:row>
          <xdr:rowOff>0</xdr:rowOff>
        </xdr:from>
        <xdr:to>
          <xdr:col>6</xdr:col>
          <xdr:colOff>0</xdr:colOff>
          <xdr:row>9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Generate Curves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480060</xdr:colOff>
          <xdr:row>9</xdr:row>
          <xdr:rowOff>266700</xdr:rowOff>
        </xdr:from>
        <xdr:to>
          <xdr:col>5</xdr:col>
          <xdr:colOff>662940</xdr:colOff>
          <xdr:row>11</xdr:row>
          <xdr:rowOff>53340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Outputs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6</xdr:col>
      <xdr:colOff>243840</xdr:colOff>
      <xdr:row>17</xdr:row>
      <xdr:rowOff>137160</xdr:rowOff>
    </xdr:from>
    <xdr:ext cx="6118860" cy="329184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oneCellAnchor>
  <xdr:oneCellAnchor>
    <xdr:from>
      <xdr:col>6</xdr:col>
      <xdr:colOff>289560</xdr:colOff>
      <xdr:row>0</xdr:row>
      <xdr:rowOff>137160</xdr:rowOff>
    </xdr:from>
    <xdr:ext cx="6073140" cy="2971800"/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one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G23"/>
  <sheetViews>
    <sheetView zoomScale="85" zoomScaleNormal="85" workbookViewId="0">
      <selection activeCell="D23" sqref="D23"/>
    </sheetView>
  </sheetViews>
  <sheetFormatPr baseColWidth="10" defaultColWidth="8.77734375" defaultRowHeight="14.4" x14ac:dyDescent="0.3"/>
  <cols>
    <col min="1" max="1" width="38" customWidth="1"/>
    <col min="2" max="2" width="28" customWidth="1"/>
  </cols>
  <sheetData>
    <row r="1" spans="1:7" ht="18" x14ac:dyDescent="0.35">
      <c r="A1" s="7" t="s">
        <v>0</v>
      </c>
      <c r="B1" s="8"/>
    </row>
    <row r="2" spans="1:7" ht="15" thickBot="1" x14ac:dyDescent="0.35"/>
    <row r="3" spans="1:7" ht="15" thickBot="1" x14ac:dyDescent="0.35">
      <c r="A3" s="3" t="s">
        <v>1</v>
      </c>
      <c r="B3" s="4" t="s">
        <v>2</v>
      </c>
      <c r="D3" s="12"/>
      <c r="E3" s="13"/>
      <c r="F3" s="13"/>
      <c r="G3" s="14"/>
    </row>
    <row r="4" spans="1:7" x14ac:dyDescent="0.3">
      <c r="A4" s="21" t="s">
        <v>3</v>
      </c>
      <c r="B4" s="21" t="s">
        <v>4</v>
      </c>
      <c r="D4" s="15"/>
      <c r="E4" s="16"/>
      <c r="F4" s="16"/>
      <c r="G4" s="17"/>
    </row>
    <row r="5" spans="1:7" x14ac:dyDescent="0.3">
      <c r="A5" s="22" t="s">
        <v>5</v>
      </c>
      <c r="B5" s="22" t="s">
        <v>6</v>
      </c>
      <c r="D5" s="15"/>
      <c r="E5" s="16"/>
      <c r="F5" s="16"/>
      <c r="G5" s="17"/>
    </row>
    <row r="6" spans="1:7" x14ac:dyDescent="0.3">
      <c r="A6" s="22" t="s">
        <v>7</v>
      </c>
      <c r="B6" s="22" t="s">
        <v>8</v>
      </c>
      <c r="D6" s="15"/>
      <c r="E6" s="16"/>
      <c r="F6" s="16"/>
      <c r="G6" s="17"/>
    </row>
    <row r="7" spans="1:7" x14ac:dyDescent="0.3">
      <c r="A7" s="22" t="s">
        <v>9</v>
      </c>
      <c r="B7" s="22" t="s">
        <v>39</v>
      </c>
      <c r="D7" s="15"/>
      <c r="E7" s="16"/>
      <c r="F7" s="16"/>
      <c r="G7" s="17"/>
    </row>
    <row r="8" spans="1:7" x14ac:dyDescent="0.3">
      <c r="A8" s="22" t="s">
        <v>10</v>
      </c>
      <c r="B8" s="22">
        <v>100</v>
      </c>
      <c r="D8" s="15"/>
      <c r="E8" s="16"/>
      <c r="F8" s="16"/>
      <c r="G8" s="17"/>
    </row>
    <row r="9" spans="1:7" x14ac:dyDescent="0.3">
      <c r="A9" s="22" t="s">
        <v>11</v>
      </c>
      <c r="B9" s="22">
        <v>0.05</v>
      </c>
      <c r="D9" s="15"/>
      <c r="E9" s="16"/>
      <c r="F9" s="16"/>
      <c r="G9" s="17"/>
    </row>
    <row r="10" spans="1:7" x14ac:dyDescent="0.3">
      <c r="A10" s="22" t="s">
        <v>15</v>
      </c>
      <c r="B10" s="22">
        <v>0.2</v>
      </c>
      <c r="D10" s="15"/>
      <c r="E10" s="16"/>
      <c r="F10" s="16"/>
      <c r="G10" s="17"/>
    </row>
    <row r="11" spans="1:7" x14ac:dyDescent="0.3">
      <c r="A11" s="23" t="s">
        <v>12</v>
      </c>
      <c r="B11" s="23">
        <v>10000</v>
      </c>
      <c r="D11" s="15"/>
      <c r="E11" s="16"/>
      <c r="F11" s="16"/>
      <c r="G11" s="17"/>
    </row>
    <row r="12" spans="1:7" x14ac:dyDescent="0.3">
      <c r="A12" s="23" t="s">
        <v>13</v>
      </c>
      <c r="B12" s="23">
        <v>42</v>
      </c>
      <c r="D12" s="15"/>
      <c r="E12" s="16"/>
      <c r="F12" s="16"/>
      <c r="G12" s="17"/>
    </row>
    <row r="13" spans="1:7" x14ac:dyDescent="0.3">
      <c r="A13" s="24" t="s">
        <v>36</v>
      </c>
      <c r="B13" s="25" t="s">
        <v>14</v>
      </c>
      <c r="D13" s="18"/>
      <c r="E13" s="19"/>
      <c r="F13" s="19"/>
      <c r="G13" s="20"/>
    </row>
    <row r="14" spans="1:7" x14ac:dyDescent="0.3">
      <c r="A14" s="25" t="s">
        <v>37</v>
      </c>
      <c r="B14" s="25">
        <v>80</v>
      </c>
    </row>
    <row r="15" spans="1:7" x14ac:dyDescent="0.3">
      <c r="A15" s="25" t="s">
        <v>38</v>
      </c>
      <c r="B15" s="25">
        <v>120</v>
      </c>
    </row>
    <row r="16" spans="1:7" x14ac:dyDescent="0.3">
      <c r="A16" s="25" t="s">
        <v>33</v>
      </c>
      <c r="B16" s="25">
        <v>20</v>
      </c>
    </row>
    <row r="17" spans="1:2" x14ac:dyDescent="0.3">
      <c r="A17" s="25" t="s">
        <v>32</v>
      </c>
      <c r="B17" s="25" t="s">
        <v>23</v>
      </c>
    </row>
    <row r="18" spans="1:2" x14ac:dyDescent="0.3">
      <c r="A18" s="25" t="s">
        <v>34</v>
      </c>
      <c r="B18" s="25" t="s">
        <v>25</v>
      </c>
    </row>
    <row r="19" spans="1:2" x14ac:dyDescent="0.3">
      <c r="A19" s="25" t="s">
        <v>35</v>
      </c>
      <c r="B19" s="25" t="s">
        <v>24</v>
      </c>
    </row>
    <row r="20" spans="1:2" x14ac:dyDescent="0.3">
      <c r="A20" s="25" t="s">
        <v>31</v>
      </c>
      <c r="B20" s="25" t="s">
        <v>30</v>
      </c>
    </row>
    <row r="21" spans="1:2" x14ac:dyDescent="0.3">
      <c r="A21" s="26" t="s">
        <v>48</v>
      </c>
      <c r="B21" s="26" t="s">
        <v>46</v>
      </c>
    </row>
    <row r="22" spans="1:2" x14ac:dyDescent="0.3">
      <c r="A22" s="26" t="s">
        <v>40</v>
      </c>
      <c r="B22" s="26">
        <v>100</v>
      </c>
    </row>
    <row r="23" spans="1:2" x14ac:dyDescent="0.3">
      <c r="A23" s="26" t="s">
        <v>41</v>
      </c>
      <c r="B23" s="26" t="s">
        <v>47</v>
      </c>
    </row>
  </sheetData>
  <dataValidations count="6">
    <dataValidation type="list" allowBlank="1" showInputMessage="1" showErrorMessage="1" sqref="B7" xr:uid="{E8916B1E-9EFC-45A7-8FDE-F372F29CE2AC}">
      <formula1>"Call,Put"</formula1>
    </dataValidation>
    <dataValidation type="list" allowBlank="1" showInputMessage="1" showErrorMessage="1" sqref="B13" xr:uid="{891261DB-712B-4F2A-8F24-A115E2A7E388}">
      <formula1>"Spot,Volatility,Rate,Maturity"</formula1>
    </dataValidation>
    <dataValidation type="list" allowBlank="1" showInputMessage="1" showErrorMessage="1" sqref="B17 B18" xr:uid="{AD566B41-4FF4-4B69-B43F-64282CA342AC}">
      <formula1>"Price,Delta,Gamma,Theta,Rho,Vega"</formula1>
    </dataValidation>
    <dataValidation type="list" allowBlank="1" showInputMessage="1" showErrorMessage="1" sqref="B19 B20" xr:uid="{E4DA1FF8-D30B-4D7B-ABED-062F7BECFC4A}">
      <formula1>"MonteCarlo,Analytic"</formula1>
    </dataValidation>
    <dataValidation type="list" allowBlank="1" showInputMessage="1" showErrorMessage="1" sqref="B21" xr:uid="{5EF667BD-235C-4293-B5D4-3BD7622BF3F6}">
      <formula1>"bgk,cond"</formula1>
    </dataValidation>
    <dataValidation type="list" allowBlank="1" showInputMessage="1" showErrorMessage="1" sqref="B23" xr:uid="{24AAB538-FC11-4E2F-B488-39F921435B66}">
      <formula1>"Yes,No"</formula1>
    </dataValidation>
  </dataValidations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Run_MC_And_Analytic">
                <anchor moveWithCells="1" sizeWithCells="1">
                  <from>
                    <xdr:col>3</xdr:col>
                    <xdr:colOff>480060</xdr:colOff>
                    <xdr:row>3</xdr:row>
                    <xdr:rowOff>175260</xdr:rowOff>
                  </from>
                  <to>
                    <xdr:col>5</xdr:col>
                    <xdr:colOff>662940</xdr:colOff>
                    <xdr:row>5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Generate_Curves">
                <anchor moveWithCells="1" sizeWithCells="1">
                  <from>
                    <xdr:col>3</xdr:col>
                    <xdr:colOff>495300</xdr:colOff>
                    <xdr:row>7</xdr:row>
                    <xdr:rowOff>0</xdr:rowOff>
                  </from>
                  <to>
                    <xdr:col>6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0]!Clear_Outputs">
                <anchor moveWithCells="1" sizeWithCells="1">
                  <from>
                    <xdr:col>3</xdr:col>
                    <xdr:colOff>480060</xdr:colOff>
                    <xdr:row>9</xdr:row>
                    <xdr:rowOff>266700</xdr:rowOff>
                  </from>
                  <to>
                    <xdr:col>5</xdr:col>
                    <xdr:colOff>662940</xdr:colOff>
                    <xdr:row>11</xdr:row>
                    <xdr:rowOff>53340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F15"/>
  <sheetViews>
    <sheetView workbookViewId="0">
      <selection activeCell="B27" sqref="B27"/>
    </sheetView>
  </sheetViews>
  <sheetFormatPr baseColWidth="10" defaultColWidth="8.77734375" defaultRowHeight="14.4" x14ac:dyDescent="0.3"/>
  <cols>
    <col min="1" max="2" width="12" customWidth="1"/>
    <col min="3" max="6" width="14" customWidth="1"/>
  </cols>
  <sheetData>
    <row r="1" spans="1:6" ht="18" x14ac:dyDescent="0.35">
      <c r="A1" s="9" t="s">
        <v>16</v>
      </c>
      <c r="B1" s="10"/>
      <c r="C1" s="10"/>
      <c r="D1" s="10"/>
      <c r="E1" s="10"/>
      <c r="F1" s="11"/>
    </row>
    <row r="2" spans="1:6" ht="18" x14ac:dyDescent="0.35">
      <c r="A2" s="1"/>
    </row>
    <row r="3" spans="1:6" x14ac:dyDescent="0.3">
      <c r="A3" s="6" t="s">
        <v>17</v>
      </c>
      <c r="B3" s="6" t="s">
        <v>18</v>
      </c>
      <c r="C3" s="6" t="s">
        <v>19</v>
      </c>
      <c r="D3" s="6" t="s">
        <v>20</v>
      </c>
      <c r="E3" s="6" t="s">
        <v>21</v>
      </c>
      <c r="F3" s="6" t="s">
        <v>22</v>
      </c>
    </row>
    <row r="4" spans="1:6" x14ac:dyDescent="0.3">
      <c r="A4" s="2" t="s">
        <v>23</v>
      </c>
      <c r="B4" s="2" t="s">
        <v>24</v>
      </c>
      <c r="C4" s="2">
        <v>14.295504691229628</v>
      </c>
      <c r="D4" s="2">
        <v>6.922813763770419E-2</v>
      </c>
      <c r="E4" s="2">
        <v>14.159817541459727</v>
      </c>
      <c r="F4" s="2">
        <v>14.431191840999528</v>
      </c>
    </row>
    <row r="5" spans="1:6" x14ac:dyDescent="0.3">
      <c r="A5" s="2" t="s">
        <v>25</v>
      </c>
      <c r="B5" s="2" t="s">
        <v>24</v>
      </c>
      <c r="C5" s="2">
        <v>0.14295504691285163</v>
      </c>
      <c r="D5" s="2">
        <v>6.9228137637968197E-4</v>
      </c>
      <c r="E5" s="2">
        <v>0.14159817541514746</v>
      </c>
      <c r="F5" s="2">
        <v>0.1443119184105558</v>
      </c>
    </row>
    <row r="6" spans="1:6" x14ac:dyDescent="0.3">
      <c r="A6" s="2" t="s">
        <v>26</v>
      </c>
      <c r="B6" s="2" t="s">
        <v>24</v>
      </c>
      <c r="C6" s="2">
        <v>-1.1269840616279225E-10</v>
      </c>
      <c r="D6" s="2">
        <v>1.3385551187788672E-12</v>
      </c>
      <c r="E6" s="2">
        <v>-1.1532197419559883E-10</v>
      </c>
      <c r="F6" s="2">
        <v>-1.1007483812998567E-10</v>
      </c>
    </row>
    <row r="7" spans="1:6" x14ac:dyDescent="0.3">
      <c r="A7" s="2" t="s">
        <v>27</v>
      </c>
      <c r="B7" s="2" t="s">
        <v>24</v>
      </c>
      <c r="C7" s="2">
        <v>-6.250067914047837</v>
      </c>
      <c r="D7" s="2">
        <v>3.6523235878444617E-2</v>
      </c>
      <c r="E7" s="2">
        <v>-6.3216534563695888</v>
      </c>
      <c r="F7" s="2">
        <v>-6.1784823717260853</v>
      </c>
    </row>
    <row r="8" spans="1:6" x14ac:dyDescent="0.3">
      <c r="A8" s="2" t="s">
        <v>28</v>
      </c>
      <c r="B8" s="2" t="s">
        <v>24</v>
      </c>
      <c r="C8" s="2">
        <v>-49.371971596235788</v>
      </c>
      <c r="D8" s="2">
        <v>5.2616296868958815E-2</v>
      </c>
      <c r="E8" s="2">
        <v>-49.475099538098945</v>
      </c>
      <c r="F8" s="2">
        <v>-49.268843654372631</v>
      </c>
    </row>
    <row r="9" spans="1:6" x14ac:dyDescent="0.3">
      <c r="A9" s="2" t="s">
        <v>29</v>
      </c>
      <c r="B9" s="2" t="s">
        <v>24</v>
      </c>
      <c r="C9" s="2">
        <v>87.184631502084684</v>
      </c>
      <c r="D9" s="2">
        <v>0.3892432846791381</v>
      </c>
      <c r="E9" s="2">
        <v>86.42171466411358</v>
      </c>
      <c r="F9" s="2">
        <v>87.947548340055789</v>
      </c>
    </row>
    <row r="10" spans="1:6" x14ac:dyDescent="0.3">
      <c r="A10" s="2" t="s">
        <v>23</v>
      </c>
      <c r="B10" s="2" t="s">
        <v>30</v>
      </c>
      <c r="C10" s="2">
        <v>14.290567707403708</v>
      </c>
      <c r="D10" s="2">
        <v>0</v>
      </c>
      <c r="E10" s="2">
        <v>14.290567707403708</v>
      </c>
      <c r="F10" s="2">
        <v>14.290567707403708</v>
      </c>
    </row>
    <row r="11" spans="1:6" x14ac:dyDescent="0.3">
      <c r="A11" s="2" t="s">
        <v>25</v>
      </c>
      <c r="B11" s="2" t="s">
        <v>30</v>
      </c>
      <c r="C11" s="2">
        <v>0.14290567707400115</v>
      </c>
      <c r="D11" s="2">
        <v>0</v>
      </c>
      <c r="E11" s="2">
        <v>0.14290567707400115</v>
      </c>
      <c r="F11" s="2">
        <v>0.14290567707400115</v>
      </c>
    </row>
    <row r="12" spans="1:6" x14ac:dyDescent="0.3">
      <c r="A12" s="2" t="s">
        <v>26</v>
      </c>
      <c r="B12" s="2" t="s">
        <v>30</v>
      </c>
      <c r="C12" s="2">
        <v>-5.3290705182007514E-11</v>
      </c>
      <c r="D12" s="2">
        <v>0</v>
      </c>
      <c r="E12" s="2">
        <v>-5.3290705182007514E-11</v>
      </c>
      <c r="F12" s="2">
        <v>-5.3290705182007514E-11</v>
      </c>
    </row>
    <row r="13" spans="1:6" x14ac:dyDescent="0.3">
      <c r="A13" s="2" t="s">
        <v>27</v>
      </c>
      <c r="B13" s="2" t="s">
        <v>30</v>
      </c>
      <c r="C13" s="2">
        <v>-6.2482963616972143</v>
      </c>
      <c r="D13" s="2">
        <v>0</v>
      </c>
      <c r="E13" s="2">
        <v>-6.2482963616972143</v>
      </c>
      <c r="F13" s="2">
        <v>-6.2482963616972143</v>
      </c>
    </row>
    <row r="14" spans="1:6" x14ac:dyDescent="0.3">
      <c r="A14" s="2" t="s">
        <v>28</v>
      </c>
      <c r="B14" s="2" t="s">
        <v>30</v>
      </c>
      <c r="C14" s="2">
        <v>-49.378972031508539</v>
      </c>
      <c r="D14" s="2">
        <v>0</v>
      </c>
      <c r="E14" s="2">
        <v>-49.378972031508539</v>
      </c>
      <c r="F14" s="2">
        <v>-49.378972031508539</v>
      </c>
    </row>
    <row r="15" spans="1:6" x14ac:dyDescent="0.3">
      <c r="A15" s="2" t="s">
        <v>29</v>
      </c>
      <c r="B15" s="2" t="s">
        <v>30</v>
      </c>
      <c r="C15" s="2">
        <v>87.170416687305519</v>
      </c>
      <c r="D15" s="2">
        <v>0</v>
      </c>
      <c r="E15" s="2">
        <v>87.170416687305519</v>
      </c>
      <c r="F15" s="2">
        <v>87.170416687305519</v>
      </c>
    </row>
  </sheetData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E21"/>
  <sheetViews>
    <sheetView tabSelected="1" workbookViewId="0">
      <selection activeCell="R7" sqref="R7"/>
    </sheetView>
  </sheetViews>
  <sheetFormatPr baseColWidth="10" defaultColWidth="8.77734375" defaultRowHeight="14.4" x14ac:dyDescent="0.3"/>
  <cols>
    <col min="1" max="1" width="17.88671875" style="2" customWidth="1"/>
    <col min="2" max="2" width="18.44140625" style="2" customWidth="1"/>
    <col min="3" max="5" width="18" style="2" customWidth="1"/>
  </cols>
  <sheetData>
    <row r="1" spans="1:5" ht="21.6" customHeight="1" x14ac:dyDescent="0.3">
      <c r="A1" s="5" t="s">
        <v>14</v>
      </c>
      <c r="B1" s="5" t="s">
        <v>42</v>
      </c>
      <c r="C1" s="5" t="s">
        <v>43</v>
      </c>
      <c r="D1" s="5" t="s">
        <v>44</v>
      </c>
      <c r="E1" s="5" t="s">
        <v>45</v>
      </c>
    </row>
    <row r="2" spans="1:5" x14ac:dyDescent="0.3">
      <c r="A2" s="2">
        <v>80</v>
      </c>
      <c r="B2" s="2">
        <v>11.436403752983704</v>
      </c>
      <c r="C2" s="2">
        <v>11.432454165922964</v>
      </c>
      <c r="D2" s="2">
        <v>0.14295504691222397</v>
      </c>
      <c r="E2" s="2">
        <v>0.1429056770737569</v>
      </c>
    </row>
    <row r="3" spans="1:5" x14ac:dyDescent="0.3">
      <c r="A3" s="2">
        <v>82.10526315789474</v>
      </c>
      <c r="B3" s="2">
        <v>11.73736174648325</v>
      </c>
      <c r="C3" s="2">
        <v>11.73330822292094</v>
      </c>
      <c r="D3" s="2">
        <v>0.1429550469128503</v>
      </c>
      <c r="E3" s="2">
        <v>0.14290567707411844</v>
      </c>
    </row>
    <row r="4" spans="1:5" x14ac:dyDescent="0.3">
      <c r="A4" s="2">
        <v>84.21052631578948</v>
      </c>
      <c r="B4" s="2">
        <v>12.038319739982802</v>
      </c>
      <c r="C4" s="2">
        <v>12.03416227991891</v>
      </c>
      <c r="D4" s="2">
        <v>0.14295504691221081</v>
      </c>
      <c r="E4" s="2">
        <v>0.14290567707435639</v>
      </c>
    </row>
    <row r="5" spans="1:5" x14ac:dyDescent="0.3">
      <c r="A5" s="2">
        <v>86.315789473684205</v>
      </c>
      <c r="B5" s="2">
        <v>12.339277733482405</v>
      </c>
      <c r="C5" s="2">
        <v>12.335016336916883</v>
      </c>
      <c r="D5" s="2">
        <v>0.14295504691220307</v>
      </c>
      <c r="E5" s="2">
        <v>0.1429056770742741</v>
      </c>
    </row>
    <row r="6" spans="1:5" x14ac:dyDescent="0.3">
      <c r="A6" s="2">
        <v>88.421052631578945</v>
      </c>
      <c r="B6" s="2">
        <v>12.64023572698202</v>
      </c>
      <c r="C6" s="2">
        <v>12.635870393914855</v>
      </c>
      <c r="D6" s="2">
        <v>0.14295504691220773</v>
      </c>
      <c r="E6" s="2">
        <v>0.14290567707429616</v>
      </c>
    </row>
    <row r="7" spans="1:5" x14ac:dyDescent="0.3">
      <c r="A7" s="2">
        <v>90.526315789473685</v>
      </c>
      <c r="B7" s="2">
        <v>12.941193720481568</v>
      </c>
      <c r="C7" s="2">
        <v>12.936724450912825</v>
      </c>
      <c r="D7" s="2">
        <v>0.14295504691221086</v>
      </c>
      <c r="E7" s="2">
        <v>0.14290567707431714</v>
      </c>
    </row>
    <row r="8" spans="1:5" x14ac:dyDescent="0.3">
      <c r="A8" s="2">
        <v>92.631578947368425</v>
      </c>
      <c r="B8" s="2">
        <v>13.242151713981057</v>
      </c>
      <c r="C8" s="2">
        <v>13.237578507910804</v>
      </c>
      <c r="D8" s="2">
        <v>0.14295504691222374</v>
      </c>
      <c r="E8" s="2">
        <v>0.14290567707414548</v>
      </c>
    </row>
    <row r="9" spans="1:5" x14ac:dyDescent="0.3">
      <c r="A9" s="2">
        <v>94.736842105263165</v>
      </c>
      <c r="B9" s="2">
        <v>13.543109707480651</v>
      </c>
      <c r="C9" s="2">
        <v>13.538432564908783</v>
      </c>
      <c r="D9" s="2">
        <v>0.14295504691285171</v>
      </c>
      <c r="E9" s="2">
        <v>0.14290567707426266</v>
      </c>
    </row>
    <row r="10" spans="1:5" x14ac:dyDescent="0.3">
      <c r="A10" s="2">
        <v>96.84210526315789</v>
      </c>
      <c r="B10" s="2">
        <v>13.844067700980252</v>
      </c>
      <c r="C10" s="2">
        <v>13.839286621906746</v>
      </c>
      <c r="D10" s="2">
        <v>0.14295504691222385</v>
      </c>
      <c r="E10" s="2">
        <v>0.14290567707364105</v>
      </c>
    </row>
    <row r="11" spans="1:5" x14ac:dyDescent="0.3">
      <c r="A11" s="2">
        <v>98.94736842105263</v>
      </c>
      <c r="B11" s="2">
        <v>14.145025694479779</v>
      </c>
      <c r="C11" s="2">
        <v>14.140140678904723</v>
      </c>
      <c r="D11" s="2">
        <v>0.14295504691220653</v>
      </c>
      <c r="E11" s="2">
        <v>0.14290567707403326</v>
      </c>
    </row>
    <row r="12" spans="1:5" x14ac:dyDescent="0.3">
      <c r="A12" s="2">
        <v>101.05263157894737</v>
      </c>
      <c r="B12" s="2">
        <v>14.445983687979446</v>
      </c>
      <c r="C12" s="2">
        <v>14.440994735902695</v>
      </c>
      <c r="D12" s="2">
        <v>0.1429550469128518</v>
      </c>
      <c r="E12" s="2">
        <v>0.1429056770739697</v>
      </c>
    </row>
    <row r="13" spans="1:5" x14ac:dyDescent="0.3">
      <c r="A13" s="2">
        <v>103.15789473684211</v>
      </c>
      <c r="B13" s="2">
        <v>14.746941681478907</v>
      </c>
      <c r="C13" s="2">
        <v>14.741848792900674</v>
      </c>
      <c r="D13" s="2">
        <v>0.14295504691221866</v>
      </c>
      <c r="E13" s="2">
        <v>0.14290567707356427</v>
      </c>
    </row>
    <row r="14" spans="1:5" x14ac:dyDescent="0.3">
      <c r="A14" s="2">
        <v>105.26315789473684</v>
      </c>
      <c r="B14" s="2">
        <v>15.047899674978574</v>
      </c>
      <c r="C14" s="2">
        <v>15.042702849898644</v>
      </c>
      <c r="D14" s="2">
        <v>0.14295504691222399</v>
      </c>
      <c r="E14" s="2">
        <v>0.14290567707427204</v>
      </c>
    </row>
    <row r="15" spans="1:5" x14ac:dyDescent="0.3">
      <c r="A15" s="2">
        <v>107.36842105263158</v>
      </c>
      <c r="B15" s="2">
        <v>15.348857668478027</v>
      </c>
      <c r="C15" s="2">
        <v>15.343556906896614</v>
      </c>
      <c r="D15" s="2">
        <v>0.14295504691222616</v>
      </c>
      <c r="E15" s="2">
        <v>0.1429056770741248</v>
      </c>
    </row>
    <row r="16" spans="1:5" x14ac:dyDescent="0.3">
      <c r="A16" s="2">
        <v>109.47368421052632</v>
      </c>
      <c r="B16" s="2">
        <v>15.6498156619777</v>
      </c>
      <c r="C16" s="2">
        <v>15.644410963894584</v>
      </c>
      <c r="D16" s="2">
        <v>0.14295504691284772</v>
      </c>
      <c r="E16" s="2">
        <v>0.14290567707390206</v>
      </c>
    </row>
    <row r="17" spans="1:5" x14ac:dyDescent="0.3">
      <c r="A17" s="2">
        <v>111.57894736842105</v>
      </c>
      <c r="B17" s="2">
        <v>15.950773655477262</v>
      </c>
      <c r="C17" s="2">
        <v>15.945265020892556</v>
      </c>
      <c r="D17" s="2">
        <v>0.1429550469122251</v>
      </c>
      <c r="E17" s="2">
        <v>0.14290567707360816</v>
      </c>
    </row>
    <row r="18" spans="1:5" x14ac:dyDescent="0.3">
      <c r="A18" s="2">
        <v>113.68421052631579</v>
      </c>
      <c r="B18" s="2">
        <v>16.251731648976811</v>
      </c>
      <c r="C18" s="2">
        <v>16.246119077890533</v>
      </c>
      <c r="D18" s="2">
        <v>0.14295504691222338</v>
      </c>
      <c r="E18" s="2">
        <v>0.1429056770741064</v>
      </c>
    </row>
    <row r="19" spans="1:5" x14ac:dyDescent="0.3">
      <c r="A19" s="2">
        <v>115.78947368421052</v>
      </c>
      <c r="B19" s="2">
        <v>16.552689642476373</v>
      </c>
      <c r="C19" s="2">
        <v>16.546973134888503</v>
      </c>
      <c r="D19" s="2">
        <v>0.14295504691220459</v>
      </c>
      <c r="E19" s="2">
        <v>0.14290567707404958</v>
      </c>
    </row>
    <row r="20" spans="1:5" x14ac:dyDescent="0.3">
      <c r="A20" s="2">
        <v>117.89473684210526</v>
      </c>
      <c r="B20" s="2">
        <v>16.853647635975982</v>
      </c>
      <c r="C20" s="2">
        <v>16.847827191886477</v>
      </c>
      <c r="D20" s="2">
        <v>0.14295504691221916</v>
      </c>
      <c r="E20" s="2">
        <v>0.14290567707399479</v>
      </c>
    </row>
    <row r="21" spans="1:5" x14ac:dyDescent="0.3">
      <c r="A21" s="2">
        <v>120</v>
      </c>
      <c r="B21" s="2">
        <v>17.154605629475544</v>
      </c>
      <c r="C21" s="2">
        <v>17.148681248884447</v>
      </c>
      <c r="D21" s="2">
        <v>0.14295504691219765</v>
      </c>
      <c r="E21" s="2">
        <v>0.14290567707423799</v>
      </c>
    </row>
  </sheetData>
  <pageMargins left="0.75" right="0.75" top="1" bottom="1" header="0.5" footer="0.5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Inputs</vt:lpstr>
      <vt:lpstr>Outputs</vt:lpstr>
      <vt:lpstr>CurveData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Mohammed-Yassine Barnicha</cp:lastModifiedBy>
  <dcterms:created xsi:type="dcterms:W3CDTF">2026-01-01T21:51:11Z</dcterms:created>
  <dcterms:modified xsi:type="dcterms:W3CDTF">2026-02-15T16:00:55Z</dcterms:modified>
</cp:coreProperties>
</file>