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hmedaminebarnicha/Downloads/lookback_project_BARNICHA/excel/"/>
    </mc:Choice>
  </mc:AlternateContent>
  <xr:revisionPtr revIDLastSave="0" documentId="13_ncr:1_{16745A71-4309-FE4D-8F52-97A8E9D4CB68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Inputs" sheetId="1" r:id="rId1"/>
    <sheet name="Outputs" sheetId="2" r:id="rId2"/>
    <sheet name="CurveData" sheetId="3" r:id="rId3"/>
  </sheets>
  <calcPr calcId="0"/>
</workbook>
</file>

<file path=xl/sharedStrings.xml><?xml version="1.0" encoding="utf-8"?>
<sst xmlns="http://schemas.openxmlformats.org/spreadsheetml/2006/main" count="72" uniqueCount="53">
  <si>
    <t>Lookback Option (Floating Strike) - Excel/VBA Front-End</t>
  </si>
  <si>
    <t>Parameter</t>
  </si>
  <si>
    <t>Value</t>
  </si>
  <si>
    <t>Valuation date T0 (YYYY-MM-DD)</t>
  </si>
  <si>
    <t>2026-01-01</t>
  </si>
  <si>
    <t>Buttons (assign macros)</t>
  </si>
  <si>
    <t>Maturity date T (YYYY-MM-DD)</t>
  </si>
  <si>
    <t>2027-01-01</t>
  </si>
  <si>
    <t>Maturity in years (T-T0)</t>
  </si>
  <si>
    <t>1.0</t>
  </si>
  <si>
    <t>Run (MC + Analytic)</t>
  </si>
  <si>
    <t>Option type</t>
  </si>
  <si>
    <t>Call</t>
  </si>
  <si>
    <t>Generate curves</t>
  </si>
  <si>
    <t>Spot S0</t>
  </si>
  <si>
    <t>100</t>
  </si>
  <si>
    <t>Clear outputs</t>
  </si>
  <si>
    <t>Rate r (cc)</t>
  </si>
  <si>
    <t>0.05</t>
  </si>
  <si>
    <t>Volatility σ</t>
  </si>
  <si>
    <t>0.20</t>
  </si>
  <si>
    <t>(Use Developer tab to insert Form Controls buttons and assign macros.)</t>
  </si>
  <si>
    <t>Paths (Monte Carlo)</t>
  </si>
  <si>
    <t>200000</t>
  </si>
  <si>
    <t>Seed</t>
  </si>
  <si>
    <t>12345</t>
  </si>
  <si>
    <t>Bump dS/S</t>
  </si>
  <si>
    <t>1E-4</t>
  </si>
  <si>
    <t>Bump dr</t>
  </si>
  <si>
    <t>Bump dσ</t>
  </si>
  <si>
    <t>Bump dT</t>
  </si>
  <si>
    <t>C++ executable path (optional)</t>
  </si>
  <si>
    <t>./build/lookback_app</t>
  </si>
  <si>
    <t>Outputs</t>
  </si>
  <si>
    <t>Metric</t>
  </si>
  <si>
    <t>Engine</t>
  </si>
  <si>
    <t>Estimate</t>
  </si>
  <si>
    <t>StdErr</t>
  </si>
  <si>
    <t>CI95 Low</t>
  </si>
  <si>
    <t>CI95 High</t>
  </si>
  <si>
    <t>Price</t>
  </si>
  <si>
    <t>MonteCarlo</t>
  </si>
  <si>
    <t>Delta</t>
  </si>
  <si>
    <t>Gamma</t>
  </si>
  <si>
    <t>Theta</t>
  </si>
  <si>
    <t>Rho</t>
  </si>
  <si>
    <t>Vega</t>
  </si>
  <si>
    <t>Analytic</t>
  </si>
  <si>
    <t>Spot</t>
  </si>
  <si>
    <t>Price (MC)</t>
  </si>
  <si>
    <t>Price (Analytic)</t>
  </si>
  <si>
    <t>Delta (MC)</t>
  </si>
  <si>
    <t>Delta (Analytic)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</si>
</sst>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Price P(S,T0) vs Spot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CurveData!$B$1</c:f>
              <c:strCache>
                <c:ptCount val="1"/>
                <c:pt idx="0">
                  <c:v>Price (MC)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CurveData!$A$2:$A$42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CurveData!$B$2:$B$42</c:f>
              <c:numCache>
                <c:formatCode>General</c:formatCode>
                <c:ptCount val="4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44-DC4A-87EA-B14B714C2F05}"/>
            </c:ext>
          </c:extLst>
        </c:ser>
        <c:ser>
          <c:idx val="1"/>
          <c:order val="1"/>
          <c:tx>
            <c:strRef>
              <c:f>CurveData!$C$1</c:f>
              <c:strCache>
                <c:ptCount val="1"/>
                <c:pt idx="0">
                  <c:v>Price (Analytic)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CurveData!$A$2:$A$42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CurveData!$C$2:$C$42</c:f>
              <c:numCache>
                <c:formatCode>General</c:formatCode>
                <c:ptCount val="4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44-DC4A-87EA-B14B714C2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Delta Δ(S,T0) vs Spot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CurveData!$D$1</c:f>
              <c:strCache>
                <c:ptCount val="1"/>
                <c:pt idx="0">
                  <c:v>Delta (MC)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CurveData!$A$2:$A$42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CurveData!$D$2:$D$42</c:f>
              <c:numCache>
                <c:formatCode>General</c:formatCode>
                <c:ptCount val="4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B7-7C43-8E54-3254554B094A}"/>
            </c:ext>
          </c:extLst>
        </c:ser>
        <c:ser>
          <c:idx val="1"/>
          <c:order val="1"/>
          <c:tx>
            <c:strRef>
              <c:f>CurveData!$E$1</c:f>
              <c:strCache>
                <c:ptCount val="1"/>
                <c:pt idx="0">
                  <c:v>Delta (Analytic)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CurveData!$A$2:$A$42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CurveData!$E$2:$E$42</c:f>
              <c:numCache>
                <c:formatCode>General</c:formatCode>
                <c:ptCount val="4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B7-7C43-8E54-3254554B0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Delta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7"/>
  <sheetViews>
    <sheetView tabSelected="1" workbookViewId="0"/>
  </sheetViews>
  <sheetFormatPr baseColWidth="10" defaultColWidth="8.83203125" defaultRowHeight="15" x14ac:dyDescent="0.2"/>
  <cols>
    <col min="1" max="1" width="38" customWidth="1"/>
    <col min="2" max="2" width="28" customWidth="1"/>
    <col min="4" max="4" width="40" customWidth="1"/>
  </cols>
  <sheetData>
    <row r="1" spans="1:4" ht="19" x14ac:dyDescent="0.25">
      <c r="A1" s="1" t="s">
        <v>0</v>
      </c>
    </row>
    <row r="3" spans="1:4" x14ac:dyDescent="0.2">
      <c r="A3" s="2" t="s">
        <v>1</v>
      </c>
      <c r="B3" s="2" t="s">
        <v>2</v>
      </c>
    </row>
    <row r="4" spans="1:4" x14ac:dyDescent="0.2">
      <c r="A4" t="s">
        <v>3</v>
      </c>
      <c r="B4" t="s">
        <v>4</v>
      </c>
      <c r="D4" s="2" t="s">
        <v>5</v>
      </c>
    </row>
    <row r="5" spans="1:4" x14ac:dyDescent="0.2">
      <c r="A5" t="s">
        <v>6</v>
      </c>
      <c r="B5" t="s">
        <v>7</v>
      </c>
    </row>
    <row r="6" spans="1:4" x14ac:dyDescent="0.2">
      <c r="A6" t="s">
        <v>8</v>
      </c>
      <c r="B6" t="s">
        <v>9</v>
      </c>
      <c r="D6" t="s">
        <v>10</v>
      </c>
    </row>
    <row r="7" spans="1:4" x14ac:dyDescent="0.2">
      <c r="A7" t="s">
        <v>11</v>
      </c>
      <c r="B7" t="s">
        <v>12</v>
      </c>
      <c r="D7" t="s">
        <v>13</v>
      </c>
    </row>
    <row r="8" spans="1:4" x14ac:dyDescent="0.2">
      <c r="A8" t="s">
        <v>14</v>
      </c>
      <c r="B8" t="s">
        <v>15</v>
      </c>
      <c r="D8" t="s">
        <v>16</v>
      </c>
    </row>
    <row r="9" spans="1:4" x14ac:dyDescent="0.2">
      <c r="A9" t="s">
        <v>17</v>
      </c>
      <c r="B9" t="s">
        <v>18</v>
      </c>
    </row>
    <row r="10" spans="1:4" ht="32" x14ac:dyDescent="0.2">
      <c r="A10" t="s">
        <v>19</v>
      </c>
      <c r="B10" t="s">
        <v>20</v>
      </c>
      <c r="D10" s="3" t="s">
        <v>21</v>
      </c>
    </row>
    <row r="11" spans="1:4" x14ac:dyDescent="0.2">
      <c r="A11" t="s">
        <v>22</v>
      </c>
      <c r="B11" t="s">
        <v>23</v>
      </c>
    </row>
    <row r="12" spans="1:4" x14ac:dyDescent="0.2">
      <c r="A12" t="s">
        <v>24</v>
      </c>
      <c r="B12" t="s">
        <v>25</v>
      </c>
    </row>
    <row r="13" spans="1:4" x14ac:dyDescent="0.2">
      <c r="A13" t="s">
        <v>26</v>
      </c>
      <c r="B13" t="s">
        <v>27</v>
      </c>
    </row>
    <row r="14" spans="1:4" x14ac:dyDescent="0.2">
      <c r="A14" t="s">
        <v>28</v>
      </c>
      <c r="B14" t="s">
        <v>27</v>
      </c>
    </row>
    <row r="15" spans="1:4" x14ac:dyDescent="0.2">
      <c r="A15" t="s">
        <v>29</v>
      </c>
      <c r="B15" t="s">
        <v>27</v>
      </c>
    </row>
    <row r="16" spans="1:4" x14ac:dyDescent="0.2">
      <c r="A16" t="s">
        <v>30</v>
      </c>
      <c r="B16" t="s">
        <v>27</v>
      </c>
    </row>
    <row r="17" spans="1:2" x14ac:dyDescent="0.2">
      <c r="A17" t="s">
        <v>31</v>
      </c>
      <c r="B1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5"/>
  <sheetViews>
    <sheetView workbookViewId="0"/>
  </sheetViews>
  <sheetFormatPr baseColWidth="10" defaultColWidth="8.83203125" defaultRowHeight="15" x14ac:dyDescent="0.2"/>
  <cols>
    <col min="1" max="2" width="12" customWidth="1"/>
    <col min="3" max="6" width="14" customWidth="1"/>
  </cols>
  <sheetData>
    <row r="1" spans="1:6" ht="19" x14ac:dyDescent="0.25">
      <c r="A1" s="1" t="s">
        <v>33</v>
      </c>
    </row>
    <row r="3" spans="1:6" x14ac:dyDescent="0.2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</row>
    <row r="4" spans="1:6" x14ac:dyDescent="0.2">
      <c r="A4" t="s">
        <v>40</v>
      </c>
      <c r="B4" t="s">
        <v>41</v>
      </c>
    </row>
    <row r="5" spans="1:6" x14ac:dyDescent="0.2">
      <c r="A5" t="s">
        <v>42</v>
      </c>
      <c r="B5" t="s">
        <v>41</v>
      </c>
    </row>
    <row r="6" spans="1:6" x14ac:dyDescent="0.2">
      <c r="A6" t="s">
        <v>43</v>
      </c>
      <c r="B6" t="s">
        <v>41</v>
      </c>
    </row>
    <row r="7" spans="1:6" x14ac:dyDescent="0.2">
      <c r="A7" t="s">
        <v>44</v>
      </c>
      <c r="B7" t="s">
        <v>41</v>
      </c>
    </row>
    <row r="8" spans="1:6" x14ac:dyDescent="0.2">
      <c r="A8" t="s">
        <v>45</v>
      </c>
      <c r="B8" t="s">
        <v>41</v>
      </c>
    </row>
    <row r="9" spans="1:6" x14ac:dyDescent="0.2">
      <c r="A9" t="s">
        <v>46</v>
      </c>
      <c r="B9" t="s">
        <v>41</v>
      </c>
    </row>
    <row r="10" spans="1:6" x14ac:dyDescent="0.2">
      <c r="A10" t="s">
        <v>40</v>
      </c>
      <c r="B10" t="s">
        <v>47</v>
      </c>
    </row>
    <row r="11" spans="1:6" x14ac:dyDescent="0.2">
      <c r="A11" t="s">
        <v>42</v>
      </c>
      <c r="B11" t="s">
        <v>47</v>
      </c>
    </row>
    <row r="12" spans="1:6" x14ac:dyDescent="0.2">
      <c r="A12" t="s">
        <v>43</v>
      </c>
      <c r="B12" t="s">
        <v>47</v>
      </c>
    </row>
    <row r="13" spans="1:6" x14ac:dyDescent="0.2">
      <c r="A13" t="s">
        <v>44</v>
      </c>
      <c r="B13" t="s">
        <v>47</v>
      </c>
    </row>
    <row r="14" spans="1:6" x14ac:dyDescent="0.2">
      <c r="A14" t="s">
        <v>45</v>
      </c>
      <c r="B14" t="s">
        <v>47</v>
      </c>
    </row>
    <row r="15" spans="1:6" x14ac:dyDescent="0.2">
      <c r="A15" t="s">
        <v>46</v>
      </c>
      <c r="B15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2"/>
  <sheetViews>
    <sheetView workbookViewId="0"/>
  </sheetViews>
  <sheetFormatPr baseColWidth="10" defaultColWidth="8.83203125" defaultRowHeight="15" x14ac:dyDescent="0.2"/>
  <cols>
    <col min="1" max="1" width="12" customWidth="1"/>
    <col min="2" max="5" width="18" customWidth="1"/>
  </cols>
  <sheetData>
    <row r="1" spans="1:5" x14ac:dyDescent="0.2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</row>
    <row r="2" spans="1:5" x14ac:dyDescent="0.2">
      <c r="A2">
        <v>80</v>
      </c>
    </row>
    <row r="3" spans="1:5" x14ac:dyDescent="0.2">
      <c r="A3">
        <v>81</v>
      </c>
    </row>
    <row r="4" spans="1:5" x14ac:dyDescent="0.2">
      <c r="A4">
        <v>82</v>
      </c>
    </row>
    <row r="5" spans="1:5" x14ac:dyDescent="0.2">
      <c r="A5">
        <v>83</v>
      </c>
    </row>
    <row r="6" spans="1:5" x14ac:dyDescent="0.2">
      <c r="A6">
        <v>84</v>
      </c>
    </row>
    <row r="7" spans="1:5" x14ac:dyDescent="0.2">
      <c r="A7">
        <v>85</v>
      </c>
    </row>
    <row r="8" spans="1:5" x14ac:dyDescent="0.2">
      <c r="A8">
        <v>86</v>
      </c>
    </row>
    <row r="9" spans="1:5" x14ac:dyDescent="0.2">
      <c r="A9">
        <v>87</v>
      </c>
    </row>
    <row r="10" spans="1:5" x14ac:dyDescent="0.2">
      <c r="A10">
        <v>88</v>
      </c>
    </row>
    <row r="11" spans="1:5" x14ac:dyDescent="0.2">
      <c r="A11">
        <v>89</v>
      </c>
    </row>
    <row r="12" spans="1:5" x14ac:dyDescent="0.2">
      <c r="A12">
        <v>90</v>
      </c>
    </row>
    <row r="13" spans="1:5" x14ac:dyDescent="0.2">
      <c r="A13">
        <v>91</v>
      </c>
    </row>
    <row r="14" spans="1:5" x14ac:dyDescent="0.2">
      <c r="A14">
        <v>92</v>
      </c>
    </row>
    <row r="15" spans="1:5" x14ac:dyDescent="0.2">
      <c r="A15">
        <v>93</v>
      </c>
    </row>
    <row r="16" spans="1:5" x14ac:dyDescent="0.2">
      <c r="A16">
        <v>94</v>
      </c>
    </row>
    <row r="17" spans="1:1" x14ac:dyDescent="0.2">
      <c r="A17">
        <v>95</v>
      </c>
    </row>
    <row r="18" spans="1:1" x14ac:dyDescent="0.2">
      <c r="A18">
        <v>96</v>
      </c>
    </row>
    <row r="19" spans="1:1" x14ac:dyDescent="0.2">
      <c r="A19">
        <v>97</v>
      </c>
    </row>
    <row r="20" spans="1:1" x14ac:dyDescent="0.2">
      <c r="A20">
        <v>98</v>
      </c>
    </row>
    <row r="21" spans="1:1" x14ac:dyDescent="0.2">
      <c r="A21">
        <v>99</v>
      </c>
    </row>
    <row r="22" spans="1:1" x14ac:dyDescent="0.2">
      <c r="A22">
        <v>100</v>
      </c>
    </row>
    <row r="23" spans="1:1" x14ac:dyDescent="0.2">
      <c r="A23">
        <v>101</v>
      </c>
    </row>
    <row r="24" spans="1:1" x14ac:dyDescent="0.2">
      <c r="A24">
        <v>102</v>
      </c>
    </row>
    <row r="25" spans="1:1" x14ac:dyDescent="0.2">
      <c r="A25">
        <v>103</v>
      </c>
    </row>
    <row r="26" spans="1:1" x14ac:dyDescent="0.2">
      <c r="A26">
        <v>104</v>
      </c>
    </row>
    <row r="27" spans="1:1" x14ac:dyDescent="0.2">
      <c r="A27">
        <v>105</v>
      </c>
    </row>
    <row r="28" spans="1:1" x14ac:dyDescent="0.2">
      <c r="A28">
        <v>106</v>
      </c>
    </row>
    <row r="29" spans="1:1" x14ac:dyDescent="0.2">
      <c r="A29">
        <v>107</v>
      </c>
    </row>
    <row r="30" spans="1:1" x14ac:dyDescent="0.2">
      <c r="A30">
        <v>108</v>
      </c>
    </row>
    <row r="31" spans="1:1" x14ac:dyDescent="0.2">
      <c r="A31">
        <v>109</v>
      </c>
    </row>
    <row r="32" spans="1:1" x14ac:dyDescent="0.2">
      <c r="A32">
        <v>110</v>
      </c>
    </row>
    <row r="33" spans="1:1" x14ac:dyDescent="0.2">
      <c r="A33">
        <v>111</v>
      </c>
    </row>
    <row r="34" spans="1:1" x14ac:dyDescent="0.2">
      <c r="A34">
        <v>112</v>
      </c>
    </row>
    <row r="35" spans="1:1" x14ac:dyDescent="0.2">
      <c r="A35">
        <v>113</v>
      </c>
    </row>
    <row r="36" spans="1:1" x14ac:dyDescent="0.2">
      <c r="A36">
        <v>114</v>
      </c>
    </row>
    <row r="37" spans="1:1" x14ac:dyDescent="0.2">
      <c r="A37">
        <v>115</v>
      </c>
    </row>
    <row r="38" spans="1:1" x14ac:dyDescent="0.2">
      <c r="A38">
        <v>116</v>
      </c>
    </row>
    <row r="39" spans="1:1" x14ac:dyDescent="0.2">
      <c r="A39">
        <v>117</v>
      </c>
    </row>
    <row r="40" spans="1:1" x14ac:dyDescent="0.2">
      <c r="A40">
        <v>118</v>
      </c>
    </row>
    <row r="41" spans="1:1" x14ac:dyDescent="0.2">
      <c r="A41">
        <v>119</v>
      </c>
    </row>
    <row r="42" spans="1:1" x14ac:dyDescent="0.2">
      <c r="A42">
        <v>120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Outputs</vt:lpstr>
      <vt:lpstr>CurveData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Amine BARNICHA</cp:lastModifiedBy>
  <dcterms:created xsi:type="dcterms:W3CDTF">2026-01-01T21:51:11Z</dcterms:created>
  <dcterms:modified xsi:type="dcterms:W3CDTF">2026-01-01T23:19:07Z</dcterms:modified>
</cp:coreProperties>
</file>